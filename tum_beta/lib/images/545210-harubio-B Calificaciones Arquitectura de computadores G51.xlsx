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Universidad\Asignaturas\Arquitectura de computadores\Periodo I 2026\"/>
    </mc:Choice>
  </mc:AlternateContent>
  <xr:revisionPtr revIDLastSave="0" documentId="13_ncr:1_{8D24B147-6D69-4BC7-9025-18C626DE6A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lifica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D2" i="1"/>
  <c r="D4" i="1"/>
  <c r="D5" i="1"/>
  <c r="D8" i="1"/>
  <c r="D3" i="1"/>
  <c r="D7" i="1"/>
  <c r="D16" i="1"/>
  <c r="D13" i="1"/>
  <c r="H16" i="1" l="1"/>
  <c r="H15" i="1"/>
  <c r="H14" i="1"/>
  <c r="H13" i="1"/>
  <c r="H12" i="1"/>
  <c r="H11" i="1"/>
  <c r="H10" i="1"/>
  <c r="H9" i="1"/>
  <c r="H8" i="1"/>
  <c r="H7" i="1"/>
  <c r="H6" i="1"/>
  <c r="H5" i="1"/>
  <c r="H4" i="1"/>
  <c r="H2" i="1"/>
  <c r="H3" i="1"/>
  <c r="H19" i="1"/>
</calcChain>
</file>

<file path=xl/sharedStrings.xml><?xml version="1.0" encoding="utf-8"?>
<sst xmlns="http://schemas.openxmlformats.org/spreadsheetml/2006/main" count="40" uniqueCount="39">
  <si>
    <t>Nombre</t>
  </si>
  <si>
    <t>Apellido(s)</t>
  </si>
  <si>
    <t>Tareas</t>
  </si>
  <si>
    <t>Proyecto final</t>
  </si>
  <si>
    <t>Primer Parcial</t>
  </si>
  <si>
    <t>Segundo Parcial</t>
  </si>
  <si>
    <t>Examen Final</t>
  </si>
  <si>
    <t>Nota final</t>
  </si>
  <si>
    <t>JUAN CAMILO</t>
  </si>
  <si>
    <t>SANTIAGO</t>
  </si>
  <si>
    <t>BALLESTEROS SIERRA</t>
  </si>
  <si>
    <t>LUIS MIGUEL</t>
  </si>
  <si>
    <t>CRUZ MALDONADO</t>
  </si>
  <si>
    <t>SAMUEL DAVID</t>
  </si>
  <si>
    <t>GARCNA VALENCIA</t>
  </si>
  <si>
    <t>SERGIO</t>
  </si>
  <si>
    <t>GOMEZ QUINONES</t>
  </si>
  <si>
    <t>GUTINRREZ LOZANO</t>
  </si>
  <si>
    <t>LUIS SANTIAGO</t>
  </si>
  <si>
    <t>IBARRA BISBICUTH</t>
  </si>
  <si>
    <t>ANDRES FELIPE</t>
  </si>
  <si>
    <t>MEDINA DIAZ</t>
  </si>
  <si>
    <t>ALEJANDRO</t>
  </si>
  <si>
    <t>MOLINA LARA</t>
  </si>
  <si>
    <t>JUAN ANDRES</t>
  </si>
  <si>
    <t>MUNOZ EUSCATEGUI</t>
  </si>
  <si>
    <t>MUNOZ FRANCO</t>
  </si>
  <si>
    <t>MICHAEL STEVEN</t>
  </si>
  <si>
    <t>QUIMBAYO RODRIGUEZ</t>
  </si>
  <si>
    <t>STEBAN MAURICIO</t>
  </si>
  <si>
    <t>RAMIREZ VELEZ</t>
  </si>
  <si>
    <t>DANIEL ESTEVAN</t>
  </si>
  <si>
    <t>RUIZ RODAS</t>
  </si>
  <si>
    <t>MARKUS SANTIAGO</t>
  </si>
  <si>
    <t>SALAZAR VARELA</t>
  </si>
  <si>
    <t>ESTEBAN NICOLAS</t>
  </si>
  <si>
    <t>SANCHEZ TOBAR TOBAR</t>
  </si>
  <si>
    <t>MIGUEL ANGEL</t>
  </si>
  <si>
    <t>SOLIS OSORIO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</si>
</sst>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">
    <xf numFmtId="0" fontId="0" fillId="0" borderId="0" xfId="0"/>
    <xf numFmtId="164" fontId="1" fillId="0" borderId="1" xfId="0" applyNumberFormat="1" applyFont="1" applyBorder="1"/>
    <xf numFmtId="49" fontId="2" fillId="0" borderId="1" xfId="0" applyNumberFormat="1" applyFont="1" applyBorder="1"/>
    <xf numFmtId="0" fontId="3" fillId="0" borderId="0" xfId="0" applyFont="1"/>
    <xf numFmtId="49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A349234E-DA7B-4799-837D-A991AE424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1"/>
  <sheetViews>
    <sheetView tabSelected="1" zoomScaleNormal="100" workbookViewId="0">
      <selection activeCell="H2" sqref="H2"/>
    </sheetView>
  </sheetViews>
  <sheetFormatPr baseColWidth="10" defaultColWidth="14.42578125" defaultRowHeight="15" customHeight="1" x14ac:dyDescent="0.25"/>
  <cols>
    <col min="1" max="1" width="13" customWidth="1"/>
    <col min="2" max="2" width="28.42578125" customWidth="1"/>
    <col min="3" max="3" width="12.85546875" customWidth="1"/>
    <col min="4" max="4" width="16.42578125" customWidth="1"/>
    <col min="5" max="5" width="15.85546875" customWidth="1"/>
    <col min="6" max="6" width="14.28515625" customWidth="1"/>
    <col min="7" max="7" width="14.42578125" customWidth="1"/>
    <col min="8" max="23" width="9.140625" customWidth="1"/>
  </cols>
  <sheetData>
    <row r="1" spans="1:8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 t="s">
        <v>8</v>
      </c>
      <c r="B2" s="4" t="s">
        <v>10</v>
      </c>
      <c r="C2" s="1">
        <v>4.5</v>
      </c>
      <c r="D2" s="1">
        <f>D12</f>
        <v>3.4</v>
      </c>
      <c r="E2" s="1">
        <v>5</v>
      </c>
      <c r="F2" s="1">
        <v>5</v>
      </c>
      <c r="G2" s="1">
        <v>4.37</v>
      </c>
      <c r="H2" s="1">
        <f>((C2+D2)/2)*0.2+E2*0.3+F2*0.2+G2*0.3</f>
        <v>4.601</v>
      </c>
    </row>
    <row r="3" spans="1:8" x14ac:dyDescent="0.25">
      <c r="A3" s="4" t="s">
        <v>11</v>
      </c>
      <c r="B3" s="4" t="s">
        <v>12</v>
      </c>
      <c r="C3" s="1">
        <v>4.5</v>
      </c>
      <c r="D3" s="1">
        <f>D6</f>
        <v>4.5999999999999996</v>
      </c>
      <c r="E3" s="1">
        <v>3.8999999999999995</v>
      </c>
      <c r="F3" s="1">
        <v>4.1000000000000005</v>
      </c>
      <c r="G3" s="1">
        <v>2.58</v>
      </c>
      <c r="H3" s="1">
        <f t="shared" ref="H3:H16" si="0">((C3+D3)/2)*0.2+E3*0.3+F3*0.2+G3*0.3</f>
        <v>3.6739999999999999</v>
      </c>
    </row>
    <row r="4" spans="1:8" x14ac:dyDescent="0.25">
      <c r="A4" s="4" t="s">
        <v>13</v>
      </c>
      <c r="B4" s="4" t="s">
        <v>14</v>
      </c>
      <c r="C4" s="1">
        <v>4.5</v>
      </c>
      <c r="D4" s="1">
        <f>D12</f>
        <v>3.4</v>
      </c>
      <c r="E4" s="1">
        <v>4</v>
      </c>
      <c r="F4" s="1">
        <v>3.1</v>
      </c>
      <c r="G4" s="1">
        <v>3.0700000000000003</v>
      </c>
      <c r="H4" s="1">
        <f t="shared" si="0"/>
        <v>3.5310000000000006</v>
      </c>
    </row>
    <row r="5" spans="1:8" x14ac:dyDescent="0.25">
      <c r="A5" s="4" t="s">
        <v>15</v>
      </c>
      <c r="B5" s="4" t="s">
        <v>16</v>
      </c>
      <c r="C5" s="1">
        <v>4.5</v>
      </c>
      <c r="D5" s="1">
        <f>D12</f>
        <v>3.4</v>
      </c>
      <c r="E5" s="1">
        <v>3.8999999999999995</v>
      </c>
      <c r="F5" s="1">
        <v>5</v>
      </c>
      <c r="G5" s="1">
        <v>3.63</v>
      </c>
      <c r="H5" s="1">
        <f t="shared" si="0"/>
        <v>4.0489999999999995</v>
      </c>
    </row>
    <row r="6" spans="1:8" x14ac:dyDescent="0.25">
      <c r="A6" s="4" t="s">
        <v>9</v>
      </c>
      <c r="B6" s="4" t="s">
        <v>17</v>
      </c>
      <c r="C6" s="1">
        <v>4.5</v>
      </c>
      <c r="D6" s="1">
        <v>4.5999999999999996</v>
      </c>
      <c r="E6" s="1">
        <v>4.4000000000000004</v>
      </c>
      <c r="F6" s="1">
        <v>2.6</v>
      </c>
      <c r="G6" s="1">
        <v>1.87</v>
      </c>
      <c r="H6" s="1">
        <f t="shared" si="0"/>
        <v>3.3109999999999999</v>
      </c>
    </row>
    <row r="7" spans="1:8" x14ac:dyDescent="0.25">
      <c r="A7" s="4" t="s">
        <v>20</v>
      </c>
      <c r="B7" s="4" t="s">
        <v>21</v>
      </c>
      <c r="C7" s="1">
        <v>4.5</v>
      </c>
      <c r="D7" s="1">
        <f>D6</f>
        <v>4.5999999999999996</v>
      </c>
      <c r="E7" s="1">
        <v>5</v>
      </c>
      <c r="F7" s="1">
        <v>5</v>
      </c>
      <c r="G7" s="1">
        <v>4.25</v>
      </c>
      <c r="H7" s="1">
        <f t="shared" si="0"/>
        <v>4.6850000000000005</v>
      </c>
    </row>
    <row r="8" spans="1:8" x14ac:dyDescent="0.25">
      <c r="A8" s="4" t="s">
        <v>22</v>
      </c>
      <c r="B8" s="4" t="s">
        <v>23</v>
      </c>
      <c r="C8" s="1">
        <v>4.5</v>
      </c>
      <c r="D8" s="1">
        <f>D6</f>
        <v>4.5999999999999996</v>
      </c>
      <c r="E8" s="1">
        <v>4.0999999999999996</v>
      </c>
      <c r="F8" s="1">
        <v>3.1</v>
      </c>
      <c r="G8" s="1">
        <v>3.6999999999999997</v>
      </c>
      <c r="H8" s="1">
        <f t="shared" si="0"/>
        <v>3.8699999999999997</v>
      </c>
    </row>
    <row r="9" spans="1:8" x14ac:dyDescent="0.25">
      <c r="A9" s="4" t="s">
        <v>24</v>
      </c>
      <c r="B9" s="4" t="s">
        <v>25</v>
      </c>
      <c r="C9" s="1">
        <v>4.5</v>
      </c>
      <c r="D9" s="1">
        <f>D14</f>
        <v>5</v>
      </c>
      <c r="E9" s="1">
        <v>5</v>
      </c>
      <c r="F9" s="1">
        <v>4.8000000000000007</v>
      </c>
      <c r="G9" s="1">
        <v>4.5</v>
      </c>
      <c r="H9" s="1">
        <f t="shared" si="0"/>
        <v>4.76</v>
      </c>
    </row>
    <row r="10" spans="1:8" x14ac:dyDescent="0.25">
      <c r="A10" s="4" t="s">
        <v>22</v>
      </c>
      <c r="B10" s="4" t="s">
        <v>26</v>
      </c>
      <c r="C10" s="1">
        <v>4.5</v>
      </c>
      <c r="D10" s="1">
        <v>4.5</v>
      </c>
      <c r="E10" s="1">
        <v>4.7</v>
      </c>
      <c r="F10" s="1">
        <v>3.0999999999999996</v>
      </c>
      <c r="G10" s="1">
        <v>4.4399999999999995</v>
      </c>
      <c r="H10" s="1">
        <f t="shared" si="0"/>
        <v>4.2620000000000005</v>
      </c>
    </row>
    <row r="11" spans="1:8" x14ac:dyDescent="0.25">
      <c r="A11" s="4" t="s">
        <v>27</v>
      </c>
      <c r="B11" s="4" t="s">
        <v>28</v>
      </c>
      <c r="C11" s="1">
        <v>4.5</v>
      </c>
      <c r="D11" s="1">
        <v>4.5</v>
      </c>
      <c r="E11" s="1">
        <v>4.8</v>
      </c>
      <c r="F11" s="1">
        <v>3.3000000000000003</v>
      </c>
      <c r="G11" s="1">
        <v>2.76</v>
      </c>
      <c r="H11" s="1">
        <f t="shared" si="0"/>
        <v>3.8279999999999998</v>
      </c>
    </row>
    <row r="12" spans="1:8" x14ac:dyDescent="0.25">
      <c r="A12" s="4" t="s">
        <v>29</v>
      </c>
      <c r="B12" s="4" t="s">
        <v>30</v>
      </c>
      <c r="C12" s="1">
        <v>4.5</v>
      </c>
      <c r="D12" s="1">
        <v>3.4</v>
      </c>
      <c r="E12" s="1">
        <v>5</v>
      </c>
      <c r="F12" s="1">
        <v>3.8</v>
      </c>
      <c r="G12" s="1">
        <v>2.4299999999999997</v>
      </c>
      <c r="H12" s="1">
        <f t="shared" si="0"/>
        <v>3.7789999999999999</v>
      </c>
    </row>
    <row r="13" spans="1:8" x14ac:dyDescent="0.25">
      <c r="A13" s="4" t="s">
        <v>31</v>
      </c>
      <c r="B13" s="4" t="s">
        <v>32</v>
      </c>
      <c r="C13" s="1">
        <v>4.5</v>
      </c>
      <c r="D13" s="1">
        <f>D11</f>
        <v>4.5</v>
      </c>
      <c r="E13" s="1">
        <v>4.6000000000000005</v>
      </c>
      <c r="F13" s="1">
        <v>2.4000000000000004</v>
      </c>
      <c r="G13" s="1">
        <v>1.87</v>
      </c>
      <c r="H13" s="1">
        <f t="shared" si="0"/>
        <v>3.3210000000000002</v>
      </c>
    </row>
    <row r="14" spans="1:8" x14ac:dyDescent="0.25">
      <c r="A14" s="4" t="s">
        <v>33</v>
      </c>
      <c r="B14" s="4" t="s">
        <v>34</v>
      </c>
      <c r="C14" s="1">
        <v>4.5</v>
      </c>
      <c r="D14" s="1">
        <v>5</v>
      </c>
      <c r="E14" s="1">
        <v>4.0999999999999996</v>
      </c>
      <c r="F14" s="1">
        <v>3.7</v>
      </c>
      <c r="G14" s="1">
        <v>3.6</v>
      </c>
      <c r="H14" s="1">
        <f t="shared" si="0"/>
        <v>4</v>
      </c>
    </row>
    <row r="15" spans="1:8" x14ac:dyDescent="0.25">
      <c r="A15" s="4" t="s">
        <v>35</v>
      </c>
      <c r="B15" s="4" t="s">
        <v>36</v>
      </c>
      <c r="C15" s="1">
        <v>4.5</v>
      </c>
      <c r="D15" s="1">
        <v>4.5</v>
      </c>
      <c r="E15" s="1">
        <v>3.8000000000000003</v>
      </c>
      <c r="F15" s="1">
        <v>4</v>
      </c>
      <c r="G15" s="1">
        <v>4.42</v>
      </c>
      <c r="H15" s="1">
        <f t="shared" si="0"/>
        <v>4.1659999999999995</v>
      </c>
    </row>
    <row r="16" spans="1:8" x14ac:dyDescent="0.25">
      <c r="A16" s="4" t="s">
        <v>37</v>
      </c>
      <c r="B16" s="4" t="s">
        <v>38</v>
      </c>
      <c r="C16" s="1">
        <v>4.5</v>
      </c>
      <c r="D16" s="1">
        <f>D6</f>
        <v>4.5999999999999996</v>
      </c>
      <c r="E16" s="1">
        <v>5</v>
      </c>
      <c r="F16" s="1">
        <v>3.0999999999999996</v>
      </c>
      <c r="G16" s="1">
        <v>4.68</v>
      </c>
      <c r="H16" s="1">
        <f t="shared" si="0"/>
        <v>4.4340000000000002</v>
      </c>
    </row>
    <row r="17" spans="1:8" ht="15.75" customHeight="1" x14ac:dyDescent="0.25"/>
    <row r="18" spans="1:8" ht="15.75" customHeight="1" x14ac:dyDescent="0.25"/>
    <row r="19" spans="1:8" x14ac:dyDescent="0.25">
      <c r="A19" s="4" t="s">
        <v>18</v>
      </c>
      <c r="B19" s="4" t="s">
        <v>19</v>
      </c>
      <c r="C19" s="1">
        <v>4.5</v>
      </c>
      <c r="D19" s="1">
        <v>0</v>
      </c>
      <c r="E19" s="1">
        <v>2.1</v>
      </c>
      <c r="F19" s="1">
        <v>0</v>
      </c>
      <c r="G19" s="1">
        <v>0</v>
      </c>
      <c r="H19" s="1">
        <f>((C19+D19)/2)*0.2+E19*0.3+F19*0.2+G19*0.3</f>
        <v>1.08</v>
      </c>
    </row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Calificaciones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 Creator</dc:creator>
  <cp:keywords/>
  <dc:description/>
  <cp:lastModifiedBy>Helmut Alexander Rubio Wilson</cp:lastModifiedBy>
  <cp:revision/>
  <dcterms:created xsi:type="dcterms:W3CDTF">2021-09-02T21:21:36Z</dcterms:created>
  <dcterms:modified xsi:type="dcterms:W3CDTF">2026-06-04T18:43:56Z</dcterms:modified>
  <cp:category/>
  <cp:contentStatus/>
</cp:coreProperties>
</file>